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Data" sheetId="2" state="visible" r:id="rId2"/>
    <sheet name="Incurred_Triangle" sheetId="3" state="visible" r:id="rId3"/>
    <sheet name="Paid_Triangle" sheetId="4" state="visible" r:id="rId4"/>
    <sheet name="Development_Factors" sheetId="5" state="visible" r:id="rId5"/>
    <sheet name="BF_Workpaper" sheetId="6" state="visible" r:id="rId6"/>
    <sheet name="Reserve_Summary" sheetId="7" state="visible" r:id="rId7"/>
    <sheet name="QC_Checks" sheetId="8" state="visible" r:id="rId8"/>
  </sheets>
  <definedNames>
    <definedName name="_xlnm._FilterDatabase" localSheetId="1" hidden="1">'Source_Data'!$A$4:$M$9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1F4E78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2" pivotButton="0" quotePrefix="0" xfId="0"/>
    <xf numFmtId="0" fontId="0" fillId="0" borderId="2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164" fontId="0" fillId="3" borderId="2" pivotButton="0" quotePrefix="0" xfId="0"/>
    <xf numFmtId="164" fontId="0" fillId="4" borderId="2" pivotButton="0" quotePrefix="0" xfId="0"/>
    <xf numFmtId="165" fontId="0" fillId="4" borderId="2" pivotButton="0" quotePrefix="0" xfId="0"/>
    <xf numFmtId="165" fontId="0" fillId="3" borderId="2" pivotButton="0" quotePrefix="0" xfId="0"/>
    <xf numFmtId="0" fontId="0" fillId="3" borderId="2" applyAlignment="1" pivotButton="0" quotePrefix="0" xfId="0">
      <alignment wrapText="1"/>
    </xf>
    <xf numFmtId="0" fontId="0" fillId="4" borderId="2" pivotButton="0" quotePrefix="0" xfId="0"/>
    <xf numFmtId="164" fontId="0" fillId="3" borderId="0" pivotButton="0" quotePrefix="0" xfId="0"/>
    <xf numFmtId="0" fontId="5" fillId="3" borderId="2" pivotButton="0" quotePrefix="0" xfId="0"/>
    <xf numFmtId="0" fontId="0" fillId="0" borderId="2" pivotButton="0" quotePrefix="0" xfId="0"/>
    <xf numFmtId="166" fontId="0" fillId="4" borderId="2" pivotButton="0" quotePrefix="0" xfId="0"/>
    <xf numFmtId="166" fontId="0" fillId="4" borderId="0" pivotButton="0" quotePrefix="0" xfId="0"/>
    <xf numFmtId="0" fontId="5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5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Progressive Commercial Auto Liability Reserving Workpaper</t>
        </is>
      </c>
    </row>
    <row r="2">
      <c r="A2" s="2" t="inlineStr">
        <is>
          <t>Prepared August 6, 2026 | Units are $ millions unless otherwise noted</t>
        </is>
      </c>
    </row>
    <row r="3"/>
    <row r="4" ht="30" customHeight="1">
      <c r="A4" s="3" t="inlineStr">
        <is>
          <t>Purpose</t>
        </is>
      </c>
      <c r="B4" s="4" t="inlineStr">
        <is>
          <t>Credentialed-actuary workpaper supporting the initial commercial auto liability reserve range analysis.</t>
        </is>
      </c>
    </row>
    <row r="5" ht="42" customHeight="1">
      <c r="A5" s="3" t="inlineStr">
        <is>
          <t>Source data</t>
        </is>
      </c>
      <c r="B5" s="4" t="inlineStr">
        <is>
          <t>Progressive 2025 Form 10-K: Commercial Lines – Liability triangles and reserve disclosures, printed pages 105 and 146-147; Commercial Lines premium data, printed page 136. Prior Progressive annual reports provide 2021-2022 Commercial Lines NPE and historical ratios.</t>
        </is>
      </c>
    </row>
    <row r="6" ht="30" customHeight="1">
      <c r="A6" s="3" t="inlineStr">
        <is>
          <t>Scope</t>
        </is>
      </c>
      <c r="B6" s="4" t="inlineStr">
        <is>
          <t>Commercial Lines liability triangle. The 10-K discusses commercial auto liability reserves including TNC; core commercial auto trend disclosures exclude TNC and Fleet &amp; Specialty, so this distinction is material.</t>
        </is>
      </c>
    </row>
    <row r="7" ht="42" customHeight="1">
      <c r="A7" s="3" t="inlineStr">
        <is>
          <t>Method</t>
        </is>
      </c>
      <c r="B7" s="4" t="inlineStr">
        <is>
          <t>Bornhuetter-Ferguson using latest incurred, 10-K implied unreported percentages, a liability premium allocation assumption, and selected expected loss ratios.</t>
        </is>
      </c>
    </row>
    <row r="8" ht="42" customHeight="1">
      <c r="A8" s="3" t="inlineStr">
        <is>
          <t>Premium limitation</t>
        </is>
      </c>
      <c r="B8" s="4" t="inlineStr">
        <is>
          <t>Liability-only earned premium is not separately disclosed. The workpaper uses 85%-95% of Commercial Lines NPE as a sensitivity range, with 90% central.</t>
        </is>
      </c>
    </row>
    <row r="9" ht="42" customHeight="1">
      <c r="A9" s="3" t="inlineStr">
        <is>
          <t>ELR limitation</t>
        </is>
      </c>
      <c r="B9" s="4" t="inlineStr">
        <is>
          <t>The selected ELRs are analyst assumptions informed by Progressive historical Commercial Lines loss ratios and disclosed severity/frequency/rate trends. They are not company guidance.</t>
        </is>
      </c>
    </row>
    <row r="10" ht="42" customHeight="1">
      <c r="A10" s="3" t="inlineStr">
        <is>
          <t>Color convention</t>
        </is>
      </c>
      <c r="B10" s="4" t="inlineStr">
        <is>
          <t>Yellow = hardcoded input/assumption; green = formula/output; blue = section header.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2" customWidth="1" min="4" max="4"/>
    <col width="15" customWidth="1" min="5" max="5"/>
    <col width="14" customWidth="1" min="6" max="6"/>
    <col width="11" customWidth="1" min="7" max="7"/>
    <col width="11" customWidth="1" min="8" max="8"/>
    <col width="11" customWidth="1" min="9" max="9"/>
    <col width="15" customWidth="1" min="10" max="10"/>
    <col width="17" customWidth="1" min="11" max="11"/>
    <col width="16" customWidth="1" min="12" max="12"/>
    <col width="32" customWidth="1" min="13" max="13"/>
  </cols>
  <sheetData>
    <row r="1">
      <c r="A1" s="1" t="inlineStr">
        <is>
          <t>Source Data and Assumptions</t>
        </is>
      </c>
    </row>
    <row r="2">
      <c r="A2" s="2" t="inlineStr">
        <is>
          <t>Hardcoded source values and analyst assumptions</t>
        </is>
      </c>
    </row>
    <row r="3"/>
    <row r="4">
      <c r="A4" s="5" t="inlineStr">
        <is>
          <t>Accident Year</t>
        </is>
      </c>
      <c r="B4" s="5" t="inlineStr">
        <is>
          <t>Commercial Lines NPE</t>
        </is>
      </c>
      <c r="C4" s="5" t="inlineStr">
        <is>
          <t>Latest Incurred</t>
        </is>
      </c>
      <c r="D4" s="5" t="inlineStr">
        <is>
          <t>10-K IBNR</t>
        </is>
      </c>
      <c r="E4" s="5" t="inlineStr">
        <is>
          <t>Book Ultimate</t>
        </is>
      </c>
      <c r="F4" s="5" t="inlineStr">
        <is>
          <t>Unreported %</t>
        </is>
      </c>
      <c r="G4" s="5" t="inlineStr">
        <is>
          <t>ELR Low</t>
        </is>
      </c>
      <c r="H4" s="5" t="inlineStr">
        <is>
          <t>ELR Base</t>
        </is>
      </c>
      <c r="I4" s="5" t="inlineStr">
        <is>
          <t>ELR High</t>
        </is>
      </c>
      <c r="J4" s="5" t="inlineStr">
        <is>
          <t>Premium Share Low</t>
        </is>
      </c>
      <c r="K4" s="5" t="inlineStr">
        <is>
          <t>Premium Share Base</t>
        </is>
      </c>
      <c r="L4" s="5" t="inlineStr">
        <is>
          <t>Premium Share High</t>
        </is>
      </c>
      <c r="M4" s="5" t="inlineStr">
        <is>
          <t>Source / Comment</t>
        </is>
      </c>
    </row>
    <row r="5">
      <c r="A5" s="6" t="n">
        <v>2021</v>
      </c>
      <c r="B5" s="7" t="n">
        <v>6945.2</v>
      </c>
      <c r="C5" s="7" t="n">
        <v>3566</v>
      </c>
      <c r="D5" s="7" t="n">
        <v>19</v>
      </c>
      <c r="E5" s="8">
        <f>C5+D5</f>
        <v/>
      </c>
      <c r="F5" s="9">
        <f>D5/E5</f>
        <v/>
      </c>
      <c r="G5" s="10" t="n">
        <v>0.64</v>
      </c>
      <c r="H5" s="10" t="n">
        <v>0.68</v>
      </c>
      <c r="I5" s="10" t="n">
        <v>0.72</v>
      </c>
      <c r="J5" s="10" t="n">
        <v>0.85</v>
      </c>
      <c r="K5" s="10" t="n">
        <v>0.9</v>
      </c>
      <c r="L5" s="10" t="n">
        <v>0.95</v>
      </c>
      <c r="M5" s="11" t="inlineStr">
        <is>
          <t>10-K triangle / analyst assumption</t>
        </is>
      </c>
    </row>
    <row r="6">
      <c r="A6" s="6" t="n">
        <v>2022</v>
      </c>
      <c r="B6" s="7" t="n">
        <v>9088.299999999999</v>
      </c>
      <c r="C6" s="7" t="n">
        <v>4875</v>
      </c>
      <c r="D6" s="7" t="n">
        <v>117</v>
      </c>
      <c r="E6" s="8">
        <f>C6+D6</f>
        <v/>
      </c>
      <c r="F6" s="9">
        <f>D6/E6</f>
        <v/>
      </c>
      <c r="G6" s="10" t="n">
        <v>0.67</v>
      </c>
      <c r="H6" s="10" t="n">
        <v>0.72</v>
      </c>
      <c r="I6" s="10" t="n">
        <v>0.77</v>
      </c>
      <c r="J6" s="10" t="n">
        <v>0.85</v>
      </c>
      <c r="K6" s="10" t="n">
        <v>0.9</v>
      </c>
      <c r="L6" s="10" t="n">
        <v>0.95</v>
      </c>
      <c r="M6" s="11" t="inlineStr">
        <is>
          <t>10-K triangle / analyst assumption</t>
        </is>
      </c>
    </row>
    <row r="7">
      <c r="A7" s="6" t="n">
        <v>2023</v>
      </c>
      <c r="B7" s="7" t="n">
        <v>9899</v>
      </c>
      <c r="C7" s="7" t="n">
        <v>5487</v>
      </c>
      <c r="D7" s="7" t="n">
        <v>220</v>
      </c>
      <c r="E7" s="8">
        <f>C7+D7</f>
        <v/>
      </c>
      <c r="F7" s="9">
        <f>D7/E7</f>
        <v/>
      </c>
      <c r="G7" s="10" t="n">
        <v>0.72</v>
      </c>
      <c r="H7" s="10" t="n">
        <v>0.76</v>
      </c>
      <c r="I7" s="10" t="n">
        <v>0.82</v>
      </c>
      <c r="J7" s="10" t="n">
        <v>0.85</v>
      </c>
      <c r="K7" s="10" t="n">
        <v>0.9</v>
      </c>
      <c r="L7" s="10" t="n">
        <v>0.95</v>
      </c>
      <c r="M7" s="11" t="inlineStr">
        <is>
          <t>10-K triangle / analyst assumption</t>
        </is>
      </c>
    </row>
    <row r="8">
      <c r="A8" s="6" t="n">
        <v>2024</v>
      </c>
      <c r="B8" s="7" t="n">
        <v>10707</v>
      </c>
      <c r="C8" s="7" t="n">
        <v>5551</v>
      </c>
      <c r="D8" s="7" t="n">
        <v>467</v>
      </c>
      <c r="E8" s="8">
        <f>C8+D8</f>
        <v/>
      </c>
      <c r="F8" s="9">
        <f>D8/E8</f>
        <v/>
      </c>
      <c r="G8" s="10" t="n">
        <v>0.66</v>
      </c>
      <c r="H8" s="10" t="n">
        <v>0.7</v>
      </c>
      <c r="I8" s="10" t="n">
        <v>0.74</v>
      </c>
      <c r="J8" s="10" t="n">
        <v>0.85</v>
      </c>
      <c r="K8" s="10" t="n">
        <v>0.9</v>
      </c>
      <c r="L8" s="10" t="n">
        <v>0.95</v>
      </c>
      <c r="M8" s="11" t="inlineStr">
        <is>
          <t>10-K triangle / analyst assumption</t>
        </is>
      </c>
    </row>
    <row r="9">
      <c r="A9" s="6" t="n">
        <v>2025</v>
      </c>
      <c r="B9" s="7" t="n">
        <v>10881</v>
      </c>
      <c r="C9" s="7" t="n">
        <v>5631</v>
      </c>
      <c r="D9" s="7" t="n">
        <v>1200</v>
      </c>
      <c r="E9" s="8">
        <f>C9+D9</f>
        <v/>
      </c>
      <c r="F9" s="9">
        <f>D9/E9</f>
        <v/>
      </c>
      <c r="G9" s="10" t="n">
        <v>0.64</v>
      </c>
      <c r="H9" s="10" t="n">
        <v>0.68</v>
      </c>
      <c r="I9" s="10" t="n">
        <v>0.72</v>
      </c>
      <c r="J9" s="10" t="n">
        <v>0.85</v>
      </c>
      <c r="K9" s="10" t="n">
        <v>0.9</v>
      </c>
      <c r="L9" s="10" t="n">
        <v>0.95</v>
      </c>
      <c r="M9" s="11" t="inlineStr">
        <is>
          <t>10-K triangle / analyst assumption</t>
        </is>
      </c>
    </row>
  </sheetData>
  <autoFilter ref="A4:M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Commercial Lines Liability - Incurred Triangle</t>
        </is>
      </c>
    </row>
    <row r="2">
      <c r="A2" s="2" t="inlineStr">
        <is>
          <t>Net of reinsurance | Source: Progressive 2025 Form 10-K, printed page 105</t>
        </is>
      </c>
    </row>
    <row r="3"/>
    <row r="4">
      <c r="A4" s="5" t="inlineStr">
        <is>
          <t>Accident Year</t>
        </is>
      </c>
      <c r="B4" s="5" t="inlineStr">
        <is>
          <t>12 months</t>
        </is>
      </c>
      <c r="C4" s="5" t="inlineStr">
        <is>
          <t>24 months</t>
        </is>
      </c>
      <c r="D4" s="5" t="inlineStr">
        <is>
          <t>36 months</t>
        </is>
      </c>
      <c r="E4" s="5" t="inlineStr">
        <is>
          <t>48 months</t>
        </is>
      </c>
      <c r="F4" s="5" t="inlineStr">
        <is>
          <t>60 months</t>
        </is>
      </c>
      <c r="G4" s="5" t="inlineStr">
        <is>
          <t>Latest Value</t>
        </is>
      </c>
      <c r="H4" s="5" t="inlineStr">
        <is>
          <t>Latest Age</t>
        </is>
      </c>
    </row>
    <row r="5">
      <c r="A5" s="6" t="n">
        <v>2021</v>
      </c>
      <c r="B5" s="7" t="n">
        <v>3447</v>
      </c>
      <c r="C5" s="7" t="n">
        <v>3527</v>
      </c>
      <c r="D5" s="7" t="n">
        <v>3574</v>
      </c>
      <c r="E5" s="7" t="n">
        <v>3581</v>
      </c>
      <c r="F5" s="7" t="n">
        <v>3566</v>
      </c>
      <c r="G5" s="8">
        <f>INDEX(B5:F5,1,COUNT(B5:F5))</f>
        <v/>
      </c>
      <c r="H5" s="12">
        <f>LOOKUP(2,1/(B5:F5&lt;&gt;""),B$4:F$4)</f>
        <v/>
      </c>
    </row>
    <row r="6">
      <c r="A6" s="6" t="n">
        <v>2022</v>
      </c>
      <c r="B6" s="7" t="n">
        <v>4526</v>
      </c>
      <c r="C6" s="7" t="n">
        <v>4835</v>
      </c>
      <c r="D6" s="7" t="n">
        <v>4862</v>
      </c>
      <c r="E6" s="7" t="n">
        <v>4875</v>
      </c>
      <c r="F6" s="13" t="n"/>
      <c r="G6" s="8">
        <f>INDEX(B6:F6,1,COUNT(B6:F6))</f>
        <v/>
      </c>
      <c r="H6" s="12">
        <f>LOOKUP(2,1/(B6:F6&lt;&gt;""),B$4:F$4)</f>
        <v/>
      </c>
    </row>
    <row r="7">
      <c r="A7" s="6" t="n">
        <v>2023</v>
      </c>
      <c r="B7" s="7" t="n">
        <v>5456</v>
      </c>
      <c r="C7" s="7" t="n">
        <v>5502</v>
      </c>
      <c r="D7" s="7" t="n">
        <v>5487</v>
      </c>
      <c r="E7" s="13" t="n"/>
      <c r="F7" s="13" t="n"/>
      <c r="G7" s="8">
        <f>INDEX(B7:F7,1,COUNT(B7:F7))</f>
        <v/>
      </c>
      <c r="H7" s="12">
        <f>LOOKUP(2,1/(B7:F7&lt;&gt;""),B$4:F$4)</f>
        <v/>
      </c>
    </row>
    <row r="8">
      <c r="A8" s="6" t="n">
        <v>2024</v>
      </c>
      <c r="B8" s="7" t="n">
        <v>5552</v>
      </c>
      <c r="C8" s="7" t="n">
        <v>5551</v>
      </c>
      <c r="D8" s="13" t="n"/>
      <c r="E8" s="13" t="n"/>
      <c r="F8" s="13" t="n"/>
      <c r="G8" s="8">
        <f>INDEX(B8:F8,1,COUNT(B8:F8))</f>
        <v/>
      </c>
      <c r="H8" s="12">
        <f>LOOKUP(2,1/(B8:F8&lt;&gt;""),B$4:F$4)</f>
        <v/>
      </c>
    </row>
    <row r="9">
      <c r="A9" s="6" t="n">
        <v>2025</v>
      </c>
      <c r="B9" s="7" t="n">
        <v>5631</v>
      </c>
      <c r="C9" s="13" t="n"/>
      <c r="D9" s="13" t="n"/>
      <c r="E9" s="13" t="n"/>
      <c r="F9" s="13" t="n"/>
      <c r="G9" s="8">
        <f>INDEX(B9:F9,1,COUNT(B9:F9))</f>
        <v/>
      </c>
      <c r="H9" s="12">
        <f>LOOKUP(2,1/(B9:F9&lt;&gt;""),B$4:F$4)</f>
        <v/>
      </c>
    </row>
    <row r="10"/>
    <row r="11">
      <c r="A11" s="14" t="inlineStr">
        <is>
          <t>Total</t>
        </is>
      </c>
      <c r="B11" s="8">
        <f>SUM(B5:B9)</f>
        <v/>
      </c>
      <c r="C11" s="8">
        <f>SUM(C5:C9)</f>
        <v/>
      </c>
      <c r="D11" s="8">
        <f>SUM(D5:D9)</f>
        <v/>
      </c>
      <c r="E11" s="8">
        <f>SUM(E5:E9)</f>
        <v/>
      </c>
      <c r="F11" s="8">
        <f>SUM(F5:F9)</f>
        <v/>
      </c>
      <c r="G11" s="8">
        <f>SUM(G5:G9)</f>
        <v/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2" customWidth="1" min="8" max="8"/>
  </cols>
  <sheetData>
    <row r="1">
      <c r="A1" s="1" t="inlineStr">
        <is>
          <t>Commercial Lines Liability - Paid Triangle</t>
        </is>
      </c>
    </row>
    <row r="2">
      <c r="A2" s="2" t="inlineStr">
        <is>
          <t>Net of reinsurance | Source: Progressive 2025 Form 10-K, printed page 105</t>
        </is>
      </c>
    </row>
    <row r="3"/>
    <row r="4">
      <c r="A4" s="5" t="inlineStr">
        <is>
          <t>Accident Year</t>
        </is>
      </c>
      <c r="B4" s="5" t="inlineStr">
        <is>
          <t>12 months</t>
        </is>
      </c>
      <c r="C4" s="5" t="inlineStr">
        <is>
          <t>24 months</t>
        </is>
      </c>
      <c r="D4" s="5" t="inlineStr">
        <is>
          <t>36 months</t>
        </is>
      </c>
      <c r="E4" s="5" t="inlineStr">
        <is>
          <t>48 months</t>
        </is>
      </c>
      <c r="F4" s="5" t="inlineStr">
        <is>
          <t>60 months</t>
        </is>
      </c>
      <c r="G4" s="5" t="inlineStr">
        <is>
          <t>Latest Value</t>
        </is>
      </c>
      <c r="H4" s="5" t="inlineStr">
        <is>
          <t>Latest Age</t>
        </is>
      </c>
    </row>
    <row r="5">
      <c r="A5" s="6" t="n">
        <v>2021</v>
      </c>
      <c r="B5" s="7" t="n">
        <v>574</v>
      </c>
      <c r="C5" s="7" t="n">
        <v>1546</v>
      </c>
      <c r="D5" s="7" t="n">
        <v>2414</v>
      </c>
      <c r="E5" s="7" t="n">
        <v>2990</v>
      </c>
      <c r="F5" s="7" t="n">
        <v>3316</v>
      </c>
      <c r="G5" s="8">
        <f>INDEX(B5:F5,1,COUNT(B5:F5))</f>
        <v/>
      </c>
      <c r="H5" s="12">
        <f>LOOKUP(2,1/(B5:F5&lt;&gt;""),B$4:F$4)</f>
        <v/>
      </c>
    </row>
    <row r="6">
      <c r="A6" s="6" t="n">
        <v>2022</v>
      </c>
      <c r="B6" s="7" t="n">
        <v>749</v>
      </c>
      <c r="C6" s="7" t="n">
        <v>2086</v>
      </c>
      <c r="D6" s="7" t="n">
        <v>3232</v>
      </c>
      <c r="E6" s="7" t="n">
        <v>3976</v>
      </c>
      <c r="F6" s="13" t="n"/>
      <c r="G6" s="8">
        <f>INDEX(B6:F6,1,COUNT(B6:F6))</f>
        <v/>
      </c>
      <c r="H6" s="12">
        <f>LOOKUP(2,1/(B6:F6&lt;&gt;""),B$4:F$4)</f>
        <v/>
      </c>
    </row>
    <row r="7">
      <c r="A7" s="6" t="n">
        <v>2023</v>
      </c>
      <c r="B7" s="7" t="n">
        <v>848</v>
      </c>
      <c r="C7" s="7" t="n">
        <v>2307</v>
      </c>
      <c r="D7" s="7" t="n">
        <v>3474</v>
      </c>
      <c r="E7" s="13" t="n"/>
      <c r="F7" s="13" t="n"/>
      <c r="G7" s="8">
        <f>INDEX(B7:F7,1,COUNT(B7:F7))</f>
        <v/>
      </c>
      <c r="H7" s="12">
        <f>LOOKUP(2,1/(B7:F7&lt;&gt;""),B$4:F$4)</f>
        <v/>
      </c>
    </row>
    <row r="8">
      <c r="A8" s="6" t="n">
        <v>2024</v>
      </c>
      <c r="B8" s="7" t="n">
        <v>853</v>
      </c>
      <c r="C8" s="7" t="n">
        <v>2150</v>
      </c>
      <c r="D8" s="13" t="n"/>
      <c r="E8" s="13" t="n"/>
      <c r="F8" s="13" t="n"/>
      <c r="G8" s="8">
        <f>INDEX(B8:F8,1,COUNT(B8:F8))</f>
        <v/>
      </c>
      <c r="H8" s="12">
        <f>LOOKUP(2,1/(B8:F8&lt;&gt;""),B$4:F$4)</f>
        <v/>
      </c>
    </row>
    <row r="9">
      <c r="A9" s="6" t="n">
        <v>2025</v>
      </c>
      <c r="B9" s="7" t="n">
        <v>784</v>
      </c>
      <c r="C9" s="13" t="n"/>
      <c r="D9" s="13" t="n"/>
      <c r="E9" s="13" t="n"/>
      <c r="F9" s="13" t="n"/>
      <c r="G9" s="8">
        <f>INDEX(B9:F9,1,COUNT(B9:F9))</f>
        <v/>
      </c>
      <c r="H9" s="12">
        <f>LOOKUP(2,1/(B9:F9&lt;&gt;""),B$4:F$4)</f>
        <v/>
      </c>
    </row>
    <row r="10"/>
    <row r="11">
      <c r="A11" s="14" t="inlineStr">
        <is>
          <t>Total</t>
        </is>
      </c>
      <c r="B11" s="8">
        <f>SUM(B5:B9)</f>
        <v/>
      </c>
      <c r="C11" s="8">
        <f>SUM(C5:C9)</f>
        <v/>
      </c>
      <c r="D11" s="8">
        <f>SUM(D5:D9)</f>
        <v/>
      </c>
      <c r="E11" s="8">
        <f>SUM(E5:E9)</f>
        <v/>
      </c>
      <c r="F11" s="8">
        <f>SUM(F5:F9)</f>
        <v/>
      </c>
      <c r="G11" s="8">
        <f>SUM(G5:G9)</f>
        <v/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5" customWidth="1" min="4" max="4"/>
    <col width="15" customWidth="1" min="5" max="5"/>
    <col width="19" customWidth="1" min="6" max="6"/>
    <col width="22" customWidth="1" min="7" max="7"/>
  </cols>
  <sheetData>
    <row r="1">
      <c r="A1" s="1" t="inlineStr">
        <is>
          <t>Development Factor Workpaper</t>
        </is>
      </c>
    </row>
    <row r="2">
      <c r="A2" s="2" t="inlineStr">
        <is>
          <t>Observed age-to-age factors, volume-weighted selections, and 10-K implied tail diagnostics</t>
        </is>
      </c>
    </row>
    <row r="3"/>
    <row r="4">
      <c r="A4" s="3" t="inlineStr">
        <is>
          <t>Incurred Development Factors</t>
        </is>
      </c>
    </row>
    <row r="5">
      <c r="A5" s="5" t="inlineStr">
        <is>
          <t>Age-to-Age</t>
        </is>
      </c>
      <c r="B5" s="5" t="inlineStr">
        <is>
          <t>2021</t>
        </is>
      </c>
      <c r="C5" s="5" t="inlineStr">
        <is>
          <t>2022</t>
        </is>
      </c>
      <c r="D5" s="5" t="inlineStr">
        <is>
          <t>2023</t>
        </is>
      </c>
      <c r="E5" s="5" t="inlineStr">
        <is>
          <t>2024</t>
        </is>
      </c>
      <c r="F5" s="5" t="inlineStr">
        <is>
          <t>2025</t>
        </is>
      </c>
      <c r="G5" s="5" t="inlineStr">
        <is>
          <t>Volume-Weighted Selected</t>
        </is>
      </c>
    </row>
    <row r="6">
      <c r="A6" s="15" t="inlineStr">
        <is>
          <t>12-24</t>
        </is>
      </c>
      <c r="B6" s="16">
        <f>IFERROR(C5/B5,"")</f>
        <v/>
      </c>
      <c r="C6" s="16">
        <f>IFERROR(C6/B6,"")</f>
        <v/>
      </c>
      <c r="D6" s="16">
        <f>IFERROR(C7/B7,"")</f>
        <v/>
      </c>
      <c r="E6" s="16">
        <f>IFERROR(C8/B8,"")</f>
        <v/>
      </c>
      <c r="F6" s="17" t="n"/>
      <c r="G6" s="16">
        <f>SUM(C5:C9)/SUM(B5:B9)</f>
        <v/>
      </c>
    </row>
    <row r="7">
      <c r="A7" s="15" t="inlineStr">
        <is>
          <t>24-36</t>
        </is>
      </c>
      <c r="B7" s="16">
        <f>IFERROR(D5/C5,"")</f>
        <v/>
      </c>
      <c r="C7" s="16">
        <f>IFERROR(D6/C6,"")</f>
        <v/>
      </c>
      <c r="D7" s="16">
        <f>IFERROR(D7/C7,"")</f>
        <v/>
      </c>
      <c r="E7" s="17" t="n"/>
      <c r="F7" s="17" t="n"/>
      <c r="G7" s="16">
        <f>SUM(D5:D9)/SUM(C5:C9)</f>
        <v/>
      </c>
    </row>
    <row r="8">
      <c r="A8" s="15" t="inlineStr">
        <is>
          <t>36-48</t>
        </is>
      </c>
      <c r="B8" s="16">
        <f>IFERROR(E5/D5,"")</f>
        <v/>
      </c>
      <c r="C8" s="16">
        <f>IFERROR(E6/D6,"")</f>
        <v/>
      </c>
      <c r="D8" s="17" t="n"/>
      <c r="E8" s="17" t="n"/>
      <c r="F8" s="17" t="n"/>
      <c r="G8" s="16">
        <f>SUM(E5:E9)/SUM(D5:D9)</f>
        <v/>
      </c>
    </row>
    <row r="9">
      <c r="A9" s="15" t="inlineStr">
        <is>
          <t>48-60</t>
        </is>
      </c>
      <c r="B9" s="16">
        <f>IFERROR(F5/E5,"")</f>
        <v/>
      </c>
      <c r="C9" s="17" t="n"/>
      <c r="D9" s="17" t="n"/>
      <c r="E9" s="17" t="n"/>
      <c r="F9" s="17" t="n"/>
      <c r="G9" s="16">
        <f>SUM(F5:F9)/SUM(E5:E9)</f>
        <v/>
      </c>
    </row>
    <row r="10">
      <c r="A10" s="18" t="inlineStr">
        <is>
          <t>Incurred cumulative factor to 60 months</t>
        </is>
      </c>
      <c r="B10" s="16">
        <f>PRODUCT(G6,G7,G8,G9)</f>
        <v/>
      </c>
      <c r="C10" s="16">
        <f>PRODUCT(G7,G8,G9)</f>
        <v/>
      </c>
      <c r="D10" s="16">
        <f>PRODUCT(G8,G9)</f>
        <v/>
      </c>
      <c r="E10" s="16">
        <f>PRODUCT(G9)</f>
        <v/>
      </c>
      <c r="F10" s="16" t="n">
        <v>1</v>
      </c>
    </row>
    <row r="11"/>
    <row r="12"/>
    <row r="13">
      <c r="A13" s="3" t="inlineStr">
        <is>
          <t>Paid Development Factors</t>
        </is>
      </c>
    </row>
    <row r="14">
      <c r="A14" s="5" t="inlineStr">
        <is>
          <t>Age-to-Age</t>
        </is>
      </c>
      <c r="B14" s="5" t="inlineStr">
        <is>
          <t>2021</t>
        </is>
      </c>
      <c r="C14" s="5" t="inlineStr">
        <is>
          <t>2022</t>
        </is>
      </c>
      <c r="D14" s="5" t="inlineStr">
        <is>
          <t>2023</t>
        </is>
      </c>
      <c r="E14" s="5" t="inlineStr">
        <is>
          <t>2024</t>
        </is>
      </c>
      <c r="F14" s="5" t="inlineStr">
        <is>
          <t>2025</t>
        </is>
      </c>
      <c r="G14" s="5" t="inlineStr">
        <is>
          <t>Volume-Weighted Selected</t>
        </is>
      </c>
    </row>
    <row r="15">
      <c r="A15" s="15" t="inlineStr">
        <is>
          <t>12-24</t>
        </is>
      </c>
      <c r="B15" s="16">
        <f>IFERROR(C5/B5,"")</f>
        <v/>
      </c>
      <c r="C15" s="16">
        <f>IFERROR(C6/B6,"")</f>
        <v/>
      </c>
      <c r="D15" s="16">
        <f>IFERROR(C7/B7,"")</f>
        <v/>
      </c>
      <c r="E15" s="16">
        <f>IFERROR(C8/B8,"")</f>
        <v/>
      </c>
      <c r="F15" s="17" t="n"/>
      <c r="G15" s="16">
        <f>SUM(C5:C9)/SUM(B5:B9)</f>
        <v/>
      </c>
    </row>
    <row r="16">
      <c r="A16" s="15" t="inlineStr">
        <is>
          <t>24-36</t>
        </is>
      </c>
      <c r="B16" s="16">
        <f>IFERROR(D5/C5,"")</f>
        <v/>
      </c>
      <c r="C16" s="16">
        <f>IFERROR(D6/C6,"")</f>
        <v/>
      </c>
      <c r="D16" s="16">
        <f>IFERROR(D7/C7,"")</f>
        <v/>
      </c>
      <c r="E16" s="17" t="n"/>
      <c r="F16" s="17" t="n"/>
      <c r="G16" s="16">
        <f>SUM(D5:D9)/SUM(C5:C9)</f>
        <v/>
      </c>
    </row>
    <row r="17">
      <c r="A17" s="15" t="inlineStr">
        <is>
          <t>36-48</t>
        </is>
      </c>
      <c r="B17" s="16">
        <f>IFERROR(E5/D5,"")</f>
        <v/>
      </c>
      <c r="C17" s="16">
        <f>IFERROR(E6/D6,"")</f>
        <v/>
      </c>
      <c r="D17" s="17" t="n"/>
      <c r="E17" s="17" t="n"/>
      <c r="F17" s="17" t="n"/>
      <c r="G17" s="16">
        <f>SUM(E5:E9)/SUM(D5:D9)</f>
        <v/>
      </c>
    </row>
    <row r="18">
      <c r="A18" s="18" t="inlineStr">
        <is>
          <t>Paid cumulative factor to 60 months</t>
        </is>
      </c>
      <c r="B18" s="16">
        <f>PRODUCT(G15,G16,G17,G18)</f>
        <v/>
      </c>
      <c r="C18" s="16">
        <f>PRODUCT(G16,G17,G18)</f>
        <v/>
      </c>
      <c r="D18" s="16">
        <f>PRODUCT(G17,G18)</f>
        <v/>
      </c>
      <c r="E18" s="16">
        <f>PRODUCT(G18)</f>
        <v/>
      </c>
      <c r="F18" s="16" t="n">
        <v>1</v>
      </c>
      <c r="G18" s="16">
        <f>SUM(F5:F9)/SUM(E5:E9)</f>
        <v/>
      </c>
    </row>
    <row r="19"/>
    <row r="20"/>
    <row r="21">
      <c r="A21" s="3" t="inlineStr">
        <is>
          <t>10-K implied incurred CDF to ultimate</t>
        </is>
      </c>
    </row>
    <row r="22">
      <c r="A22" s="5" t="inlineStr">
        <is>
          <t>Accident Year</t>
        </is>
      </c>
      <c r="B22" s="5" t="inlineStr">
        <is>
          <t>Latest Incurred</t>
        </is>
      </c>
      <c r="C22" s="5" t="inlineStr">
        <is>
          <t>10-K IBNR</t>
        </is>
      </c>
      <c r="D22" s="5" t="inlineStr">
        <is>
          <t>Book Ultimate</t>
        </is>
      </c>
      <c r="E22" s="5" t="inlineStr">
        <is>
          <t>Implied CDF</t>
        </is>
      </c>
      <c r="F22" s="5" t="inlineStr">
        <is>
          <t>Implied Unreported %</t>
        </is>
      </c>
      <c r="G22" s="19" t="n"/>
    </row>
    <row r="23">
      <c r="A23" s="8" t="n">
        <v>2021</v>
      </c>
      <c r="B23" s="8">
        <f>Source_Data!C5</f>
        <v/>
      </c>
      <c r="C23" s="8">
        <f>Source_Data!D5</f>
        <v/>
      </c>
      <c r="D23" s="8">
        <f>Source_Data!E5</f>
        <v/>
      </c>
      <c r="E23" s="16">
        <f>D23/B23</f>
        <v/>
      </c>
      <c r="F23" s="16">
        <f>C23/D23</f>
        <v/>
      </c>
    </row>
    <row r="24">
      <c r="A24" s="8" t="n">
        <v>2022</v>
      </c>
      <c r="B24" s="8">
        <f>Source_Data!C6</f>
        <v/>
      </c>
      <c r="C24" s="8">
        <f>Source_Data!D6</f>
        <v/>
      </c>
      <c r="D24" s="8">
        <f>Source_Data!E6</f>
        <v/>
      </c>
      <c r="E24" s="16">
        <f>D24/B24</f>
        <v/>
      </c>
      <c r="F24" s="16">
        <f>C24/D24</f>
        <v/>
      </c>
    </row>
    <row r="25">
      <c r="A25" s="8" t="n">
        <v>2023</v>
      </c>
      <c r="B25" s="8">
        <f>Source_Data!C7</f>
        <v/>
      </c>
      <c r="C25" s="8">
        <f>Source_Data!D7</f>
        <v/>
      </c>
      <c r="D25" s="8">
        <f>Source_Data!E7</f>
        <v/>
      </c>
      <c r="E25" s="16">
        <f>D25/B25</f>
        <v/>
      </c>
      <c r="F25" s="16">
        <f>C25/D25</f>
        <v/>
      </c>
    </row>
    <row r="26">
      <c r="A26" s="8" t="n">
        <v>2024</v>
      </c>
      <c r="B26" s="8">
        <f>Source_Data!C8</f>
        <v/>
      </c>
      <c r="C26" s="8">
        <f>Source_Data!D8</f>
        <v/>
      </c>
      <c r="D26" s="8">
        <f>Source_Data!E8</f>
        <v/>
      </c>
      <c r="E26" s="16">
        <f>D26/B26</f>
        <v/>
      </c>
      <c r="F26" s="16">
        <f>C26/D26</f>
        <v/>
      </c>
    </row>
    <row r="27">
      <c r="A27" s="8" t="n">
        <v>2025</v>
      </c>
      <c r="B27" s="8">
        <f>Source_Data!C9</f>
        <v/>
      </c>
      <c r="C27" s="8">
        <f>Source_Data!D9</f>
        <v/>
      </c>
      <c r="D27" s="8">
        <f>Source_Data!E9</f>
        <v/>
      </c>
      <c r="E27" s="16">
        <f>D27/B27</f>
        <v/>
      </c>
      <c r="F27" s="16">
        <f>C27/D27</f>
        <v/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S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Bornhuetter-Ferguson Workpaper</t>
        </is>
      </c>
    </row>
    <row r="2">
      <c r="A2" s="2" t="inlineStr">
        <is>
          <t>Expected loss ratio method underlies the BF expected ultimate</t>
        </is>
      </c>
    </row>
    <row r="3"/>
    <row r="4">
      <c r="A4" s="5" t="inlineStr">
        <is>
          <t>AY</t>
        </is>
      </c>
      <c r="B4" s="5" t="inlineStr">
        <is>
          <t>Commercial Lines NPE</t>
        </is>
      </c>
      <c r="C4" s="5" t="inlineStr">
        <is>
          <t>Premium Share Low</t>
        </is>
      </c>
      <c r="D4" s="5" t="inlineStr">
        <is>
          <t>Premium Share Base</t>
        </is>
      </c>
      <c r="E4" s="5" t="inlineStr">
        <is>
          <t>Premium Share High</t>
        </is>
      </c>
      <c r="F4" s="5" t="inlineStr">
        <is>
          <t>Liability NPE Low</t>
        </is>
      </c>
      <c r="G4" s="5" t="inlineStr">
        <is>
          <t>Liability NPE Base</t>
        </is>
      </c>
      <c r="H4" s="5" t="inlineStr">
        <is>
          <t>Liability NPE High</t>
        </is>
      </c>
      <c r="I4" s="5" t="inlineStr">
        <is>
          <t>ELR Low</t>
        </is>
      </c>
      <c r="J4" s="5" t="inlineStr">
        <is>
          <t>ELR Base</t>
        </is>
      </c>
      <c r="K4" s="5" t="inlineStr">
        <is>
          <t>ELR High</t>
        </is>
      </c>
      <c r="L4" s="5" t="inlineStr">
        <is>
          <t>Expected Ult Low</t>
        </is>
      </c>
      <c r="M4" s="5" t="inlineStr">
        <is>
          <t>Expected Ult Base</t>
        </is>
      </c>
      <c r="N4" s="5" t="inlineStr">
        <is>
          <t>Expected Ult High</t>
        </is>
      </c>
      <c r="O4" s="5" t="inlineStr">
        <is>
          <t>Latest Incurred</t>
        </is>
      </c>
      <c r="P4" s="5" t="inlineStr">
        <is>
          <t>Unreported %</t>
        </is>
      </c>
      <c r="Q4" s="5" t="inlineStr">
        <is>
          <t>BF Ult Low</t>
        </is>
      </c>
      <c r="R4" s="5" t="inlineStr">
        <is>
          <t>BF Ult Base</t>
        </is>
      </c>
      <c r="S4" s="5" t="inlineStr">
        <is>
          <t>BF Ult High</t>
        </is>
      </c>
    </row>
    <row r="5">
      <c r="A5" s="7" t="n">
        <v>2021</v>
      </c>
      <c r="B5" s="8">
        <f>Source_Data!B5</f>
        <v/>
      </c>
      <c r="C5" s="9">
        <f>Source_Data!J5</f>
        <v/>
      </c>
      <c r="D5" s="9">
        <f>Source_Data!K5</f>
        <v/>
      </c>
      <c r="E5" s="9">
        <f>Source_Data!L5</f>
        <v/>
      </c>
      <c r="F5" s="8">
        <f>B5*C5</f>
        <v/>
      </c>
      <c r="G5" s="8">
        <f>B5*D5</f>
        <v/>
      </c>
      <c r="H5" s="8">
        <f>B5*E5</f>
        <v/>
      </c>
      <c r="I5" s="9">
        <f>Source_Data!G5</f>
        <v/>
      </c>
      <c r="J5" s="9">
        <f>Source_Data!H5</f>
        <v/>
      </c>
      <c r="K5" s="9">
        <f>Source_Data!I5</f>
        <v/>
      </c>
      <c r="L5" s="8">
        <f>F5*I5</f>
        <v/>
      </c>
      <c r="M5" s="8">
        <f>G5*J5</f>
        <v/>
      </c>
      <c r="N5" s="8">
        <f>H5*K5</f>
        <v/>
      </c>
      <c r="O5" s="8">
        <f>Source_Data!C5</f>
        <v/>
      </c>
      <c r="P5" s="9">
        <f>Source_Data!F5</f>
        <v/>
      </c>
      <c r="Q5" s="8">
        <f>O5+P5*L5</f>
        <v/>
      </c>
      <c r="R5" s="8">
        <f>O5+P5*M5</f>
        <v/>
      </c>
      <c r="S5" s="8">
        <f>O5+P5*N5</f>
        <v/>
      </c>
    </row>
    <row r="6">
      <c r="A6" s="7" t="n">
        <v>2022</v>
      </c>
      <c r="B6" s="8">
        <f>Source_Data!B6</f>
        <v/>
      </c>
      <c r="C6" s="9">
        <f>Source_Data!J6</f>
        <v/>
      </c>
      <c r="D6" s="9">
        <f>Source_Data!K6</f>
        <v/>
      </c>
      <c r="E6" s="9">
        <f>Source_Data!L6</f>
        <v/>
      </c>
      <c r="F6" s="8">
        <f>B6*C6</f>
        <v/>
      </c>
      <c r="G6" s="8">
        <f>B6*D6</f>
        <v/>
      </c>
      <c r="H6" s="8">
        <f>B6*E6</f>
        <v/>
      </c>
      <c r="I6" s="9">
        <f>Source_Data!G6</f>
        <v/>
      </c>
      <c r="J6" s="9">
        <f>Source_Data!H6</f>
        <v/>
      </c>
      <c r="K6" s="9">
        <f>Source_Data!I6</f>
        <v/>
      </c>
      <c r="L6" s="8">
        <f>F6*I6</f>
        <v/>
      </c>
      <c r="M6" s="8">
        <f>G6*J6</f>
        <v/>
      </c>
      <c r="N6" s="8">
        <f>H6*K6</f>
        <v/>
      </c>
      <c r="O6" s="8">
        <f>Source_Data!C6</f>
        <v/>
      </c>
      <c r="P6" s="9">
        <f>Source_Data!F6</f>
        <v/>
      </c>
      <c r="Q6" s="8">
        <f>O6+P6*L6</f>
        <v/>
      </c>
      <c r="R6" s="8">
        <f>O6+P6*M6</f>
        <v/>
      </c>
      <c r="S6" s="8">
        <f>O6+P6*N6</f>
        <v/>
      </c>
    </row>
    <row r="7">
      <c r="A7" s="7" t="n">
        <v>2023</v>
      </c>
      <c r="B7" s="8">
        <f>Source_Data!B7</f>
        <v/>
      </c>
      <c r="C7" s="9">
        <f>Source_Data!J7</f>
        <v/>
      </c>
      <c r="D7" s="9">
        <f>Source_Data!K7</f>
        <v/>
      </c>
      <c r="E7" s="9">
        <f>Source_Data!L7</f>
        <v/>
      </c>
      <c r="F7" s="8">
        <f>B7*C7</f>
        <v/>
      </c>
      <c r="G7" s="8">
        <f>B7*D7</f>
        <v/>
      </c>
      <c r="H7" s="8">
        <f>B7*E7</f>
        <v/>
      </c>
      <c r="I7" s="9">
        <f>Source_Data!G7</f>
        <v/>
      </c>
      <c r="J7" s="9">
        <f>Source_Data!H7</f>
        <v/>
      </c>
      <c r="K7" s="9">
        <f>Source_Data!I7</f>
        <v/>
      </c>
      <c r="L7" s="8">
        <f>F7*I7</f>
        <v/>
      </c>
      <c r="M7" s="8">
        <f>G7*J7</f>
        <v/>
      </c>
      <c r="N7" s="8">
        <f>H7*K7</f>
        <v/>
      </c>
      <c r="O7" s="8">
        <f>Source_Data!C7</f>
        <v/>
      </c>
      <c r="P7" s="9">
        <f>Source_Data!F7</f>
        <v/>
      </c>
      <c r="Q7" s="8">
        <f>O7+P7*L7</f>
        <v/>
      </c>
      <c r="R7" s="8">
        <f>O7+P7*M7</f>
        <v/>
      </c>
      <c r="S7" s="8">
        <f>O7+P7*N7</f>
        <v/>
      </c>
    </row>
    <row r="8">
      <c r="A8" s="7" t="n">
        <v>2024</v>
      </c>
      <c r="B8" s="8">
        <f>Source_Data!B8</f>
        <v/>
      </c>
      <c r="C8" s="9">
        <f>Source_Data!J8</f>
        <v/>
      </c>
      <c r="D8" s="9">
        <f>Source_Data!K8</f>
        <v/>
      </c>
      <c r="E8" s="9">
        <f>Source_Data!L8</f>
        <v/>
      </c>
      <c r="F8" s="8">
        <f>B8*C8</f>
        <v/>
      </c>
      <c r="G8" s="8">
        <f>B8*D8</f>
        <v/>
      </c>
      <c r="H8" s="8">
        <f>B8*E8</f>
        <v/>
      </c>
      <c r="I8" s="9">
        <f>Source_Data!G8</f>
        <v/>
      </c>
      <c r="J8" s="9">
        <f>Source_Data!H8</f>
        <v/>
      </c>
      <c r="K8" s="9">
        <f>Source_Data!I8</f>
        <v/>
      </c>
      <c r="L8" s="8">
        <f>F8*I8</f>
        <v/>
      </c>
      <c r="M8" s="8">
        <f>G8*J8</f>
        <v/>
      </c>
      <c r="N8" s="8">
        <f>H8*K8</f>
        <v/>
      </c>
      <c r="O8" s="8">
        <f>Source_Data!C8</f>
        <v/>
      </c>
      <c r="P8" s="9">
        <f>Source_Data!F8</f>
        <v/>
      </c>
      <c r="Q8" s="8">
        <f>O8+P8*L8</f>
        <v/>
      </c>
      <c r="R8" s="8">
        <f>O8+P8*M8</f>
        <v/>
      </c>
      <c r="S8" s="8">
        <f>O8+P8*N8</f>
        <v/>
      </c>
    </row>
    <row r="9">
      <c r="A9" s="7" t="n">
        <v>2025</v>
      </c>
      <c r="B9" s="8">
        <f>Source_Data!B9</f>
        <v/>
      </c>
      <c r="C9" s="9">
        <f>Source_Data!J9</f>
        <v/>
      </c>
      <c r="D9" s="9">
        <f>Source_Data!K9</f>
        <v/>
      </c>
      <c r="E9" s="9">
        <f>Source_Data!L9</f>
        <v/>
      </c>
      <c r="F9" s="8">
        <f>B9*C9</f>
        <v/>
      </c>
      <c r="G9" s="8">
        <f>B9*D9</f>
        <v/>
      </c>
      <c r="H9" s="8">
        <f>B9*E9</f>
        <v/>
      </c>
      <c r="I9" s="9">
        <f>Source_Data!G9</f>
        <v/>
      </c>
      <c r="J9" s="9">
        <f>Source_Data!H9</f>
        <v/>
      </c>
      <c r="K9" s="9">
        <f>Source_Data!I9</f>
        <v/>
      </c>
      <c r="L9" s="8">
        <f>F9*I9</f>
        <v/>
      </c>
      <c r="M9" s="8">
        <f>G9*J9</f>
        <v/>
      </c>
      <c r="N9" s="8">
        <f>H9*K9</f>
        <v/>
      </c>
      <c r="O9" s="8">
        <f>Source_Data!C9</f>
        <v/>
      </c>
      <c r="P9" s="9">
        <f>Source_Data!F9</f>
        <v/>
      </c>
      <c r="Q9" s="8">
        <f>O9+P9*L9</f>
        <v/>
      </c>
      <c r="R9" s="8">
        <f>O9+P9*M9</f>
        <v/>
      </c>
      <c r="S9" s="8">
        <f>O9+P9*N9</f>
        <v/>
      </c>
    </row>
    <row r="10"/>
    <row r="11"/>
    <row r="12">
      <c r="A12" s="18" t="inlineStr">
        <is>
          <t>Total / Weighted</t>
        </is>
      </c>
      <c r="B12" s="8">
        <f>SUM(B5:B9)</f>
        <v/>
      </c>
      <c r="F12" s="8">
        <f>SUM(F5:F9)</f>
        <v/>
      </c>
      <c r="G12" s="8">
        <f>SUM(G5:G9)</f>
        <v/>
      </c>
      <c r="H12" s="8">
        <f>SUM(H5:H9)</f>
        <v/>
      </c>
      <c r="L12" s="8">
        <f>SUM(L5:L9)</f>
        <v/>
      </c>
      <c r="M12" s="8">
        <f>SUM(M5:M9)</f>
        <v/>
      </c>
      <c r="N12" s="8">
        <f>SUM(N5:N9)</f>
        <v/>
      </c>
      <c r="O12" s="8">
        <f>SUM(O5:O9)</f>
        <v/>
      </c>
      <c r="P12" s="9">
        <f>SUMPRODUCT(P5:P9,O5:O9)/SUM(O5:O9)</f>
        <v/>
      </c>
      <c r="Q12" s="8">
        <f>SUM(Q5:Q9)</f>
        <v/>
      </c>
      <c r="R12" s="8">
        <f>SUM(R5:R9)</f>
        <v/>
      </c>
      <c r="S12" s="8">
        <f>SUM(S5:S9)</f>
        <v/>
      </c>
    </row>
    <row r="13"/>
    <row r="14"/>
    <row r="15">
      <c r="A15" s="3" t="inlineStr">
        <is>
          <t>Formula notes</t>
        </is>
      </c>
    </row>
    <row r="16">
      <c r="A16" s="20" t="inlineStr">
        <is>
          <t>Expected ultimate = liability premium proxy × selected expected loss ratio.</t>
        </is>
      </c>
    </row>
    <row r="17">
      <c r="A17" s="20" t="inlineStr">
        <is>
          <t>BF ultimate = latest incurred + implied unreported % × expected ultimate.</t>
        </is>
      </c>
    </row>
    <row r="18">
      <c r="A18" s="20" t="inlineStr">
        <is>
          <t>Implied unreported % = 10-K IBNR / 10-K carried ultimate.</t>
        </is>
      </c>
    </row>
    <row r="19">
      <c r="A19" s="20" t="inlineStr">
        <is>
          <t>Premium allocation sensitivity is 85%-95%; central assumption is 90%.</t>
        </is>
      </c>
    </row>
  </sheetData>
  <mergeCells count="4">
    <mergeCell ref="A18:H18"/>
    <mergeCell ref="A19:H19"/>
    <mergeCell ref="A16:H16"/>
    <mergeCell ref="A17:H17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>
      <c r="A1" s="1" t="inlineStr">
        <is>
          <t>Reserve Summary and Reconciliation</t>
        </is>
      </c>
    </row>
    <row r="2">
      <c r="A2" s="2" t="inlineStr">
        <is>
          <t>BF range compared with the 10-K carried ultimate</t>
        </is>
      </c>
    </row>
    <row r="3"/>
    <row r="4">
      <c r="A4" s="5" t="inlineStr">
        <is>
          <t>AY</t>
        </is>
      </c>
      <c r="B4" s="5" t="inlineStr">
        <is>
          <t>Book Latest Incurred</t>
        </is>
      </c>
      <c r="C4" s="5" t="inlineStr">
        <is>
          <t>Book IBNR</t>
        </is>
      </c>
      <c r="D4" s="5" t="inlineStr">
        <is>
          <t>Book Ultimate</t>
        </is>
      </c>
      <c r="E4" s="5" t="inlineStr">
        <is>
          <t>BF Low</t>
        </is>
      </c>
      <c r="F4" s="5" t="inlineStr">
        <is>
          <t>BF Base</t>
        </is>
      </c>
      <c r="G4" s="5" t="inlineStr">
        <is>
          <t>BF High</t>
        </is>
      </c>
      <c r="H4" s="5" t="inlineStr">
        <is>
          <t>BF Base vs Book</t>
        </is>
      </c>
      <c r="I4" s="5" t="inlineStr">
        <is>
          <t>Book IBNR %</t>
        </is>
      </c>
    </row>
    <row r="5">
      <c r="A5" s="8" t="n">
        <v>2021</v>
      </c>
      <c r="B5" s="8">
        <f>Source_Data!C5</f>
        <v/>
      </c>
      <c r="C5" s="8">
        <f>Source_Data!D5</f>
        <v/>
      </c>
      <c r="D5" s="8">
        <f>Source_Data!E5</f>
        <v/>
      </c>
      <c r="E5" s="8">
        <f>BF_Workpaper!Q5</f>
        <v/>
      </c>
      <c r="F5" s="8">
        <f>BF_Workpaper!R5</f>
        <v/>
      </c>
      <c r="G5" s="8">
        <f>BF_Workpaper!S5</f>
        <v/>
      </c>
      <c r="H5" s="8">
        <f>F5-D5</f>
        <v/>
      </c>
      <c r="I5" s="9">
        <f>C5/D5</f>
        <v/>
      </c>
    </row>
    <row r="6">
      <c r="A6" s="8" t="n">
        <v>2022</v>
      </c>
      <c r="B6" s="8">
        <f>Source_Data!C6</f>
        <v/>
      </c>
      <c r="C6" s="8">
        <f>Source_Data!D6</f>
        <v/>
      </c>
      <c r="D6" s="8">
        <f>Source_Data!E6</f>
        <v/>
      </c>
      <c r="E6" s="8">
        <f>BF_Workpaper!Q6</f>
        <v/>
      </c>
      <c r="F6" s="8">
        <f>BF_Workpaper!R6</f>
        <v/>
      </c>
      <c r="G6" s="8">
        <f>BF_Workpaper!S6</f>
        <v/>
      </c>
      <c r="H6" s="8">
        <f>F6-D6</f>
        <v/>
      </c>
      <c r="I6" s="9">
        <f>C6/D6</f>
        <v/>
      </c>
    </row>
    <row r="7">
      <c r="A7" s="8" t="n">
        <v>2023</v>
      </c>
      <c r="B7" s="8">
        <f>Source_Data!C7</f>
        <v/>
      </c>
      <c r="C7" s="8">
        <f>Source_Data!D7</f>
        <v/>
      </c>
      <c r="D7" s="8">
        <f>Source_Data!E7</f>
        <v/>
      </c>
      <c r="E7" s="8">
        <f>BF_Workpaper!Q7</f>
        <v/>
      </c>
      <c r="F7" s="8">
        <f>BF_Workpaper!R7</f>
        <v/>
      </c>
      <c r="G7" s="8">
        <f>BF_Workpaper!S7</f>
        <v/>
      </c>
      <c r="H7" s="8">
        <f>F7-D7</f>
        <v/>
      </c>
      <c r="I7" s="9">
        <f>C7/D7</f>
        <v/>
      </c>
    </row>
    <row r="8">
      <c r="A8" s="8" t="n">
        <v>2024</v>
      </c>
      <c r="B8" s="8">
        <f>Source_Data!C8</f>
        <v/>
      </c>
      <c r="C8" s="8">
        <f>Source_Data!D8</f>
        <v/>
      </c>
      <c r="D8" s="8">
        <f>Source_Data!E8</f>
        <v/>
      </c>
      <c r="E8" s="8">
        <f>BF_Workpaper!Q8</f>
        <v/>
      </c>
      <c r="F8" s="8">
        <f>BF_Workpaper!R8</f>
        <v/>
      </c>
      <c r="G8" s="8">
        <f>BF_Workpaper!S8</f>
        <v/>
      </c>
      <c r="H8" s="8">
        <f>F8-D8</f>
        <v/>
      </c>
      <c r="I8" s="9">
        <f>C8/D8</f>
        <v/>
      </c>
    </row>
    <row r="9">
      <c r="A9" s="8" t="n">
        <v>2025</v>
      </c>
      <c r="B9" s="8">
        <f>Source_Data!C9</f>
        <v/>
      </c>
      <c r="C9" s="8">
        <f>Source_Data!D9</f>
        <v/>
      </c>
      <c r="D9" s="8">
        <f>Source_Data!E9</f>
        <v/>
      </c>
      <c r="E9" s="8">
        <f>BF_Workpaper!Q9</f>
        <v/>
      </c>
      <c r="F9" s="8">
        <f>BF_Workpaper!R9</f>
        <v/>
      </c>
      <c r="G9" s="8">
        <f>BF_Workpaper!S9</f>
        <v/>
      </c>
      <c r="H9" s="8">
        <f>F9-D9</f>
        <v/>
      </c>
      <c r="I9" s="9">
        <f>C9/D9</f>
        <v/>
      </c>
    </row>
    <row r="10"/>
    <row r="11"/>
    <row r="12">
      <c r="A12" s="3" t="inlineStr">
        <is>
          <t>Key interpretation</t>
        </is>
      </c>
    </row>
    <row r="13">
      <c r="A13" s="21" t="inlineStr">
        <is>
          <t>BF ranges remain close to carried values for mature accident years because the 10-K implied unreported percentages are small. AY2025 is more sensitive because 17.6% of carried ultimate remains unreported.</t>
        </is>
      </c>
    </row>
    <row r="14"/>
  </sheetData>
  <mergeCells count="1">
    <mergeCell ref="A13:I14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8" customWidth="1" min="3" max="3"/>
    <col width="14" customWidth="1" min="4" max="4"/>
  </cols>
  <sheetData>
    <row r="1">
      <c r="A1" s="1" t="inlineStr">
        <is>
          <t>Quality Control Checks</t>
        </is>
      </c>
    </row>
    <row r="2">
      <c r="A2" s="2" t="inlineStr">
        <is>
          <t>All checks should show PASS after opening in Excel or Google Sheets</t>
        </is>
      </c>
    </row>
    <row r="3"/>
    <row r="4">
      <c r="A4" s="5" t="inlineStr">
        <is>
          <t>Check</t>
        </is>
      </c>
      <c r="B4" s="5" t="inlineStr">
        <is>
          <t>Formula / Basis</t>
        </is>
      </c>
      <c r="C4" s="5" t="inlineStr">
        <is>
          <t>Result</t>
        </is>
      </c>
      <c r="D4" s="5" t="inlineStr">
        <is>
          <t>Status</t>
        </is>
      </c>
    </row>
    <row r="5">
      <c r="A5" s="4" t="inlineStr">
        <is>
          <t>Book ultimate arithmetic</t>
        </is>
      </c>
      <c r="B5" s="4" t="inlineStr">
        <is>
          <t>Latest incurred + 10-K IBNR = book ultimate</t>
        </is>
      </c>
      <c r="C5" s="22">
        <f>SUMPRODUCT(Source_Data!C5:C9,Source_Data!D5:D9*0+1)+SUM(Source_Data!D5:D9)-SUM(Source_Data!E5:E9)</f>
        <v/>
      </c>
      <c r="D5" s="23">
        <f>IF(C5=0,"PASS","CHECK")</f>
        <v/>
      </c>
    </row>
    <row r="6">
      <c r="A6" s="4" t="inlineStr">
        <is>
          <t>BF low ≤ base ≤ high</t>
        </is>
      </c>
      <c r="B6" s="4" t="inlineStr">
        <is>
          <t>Each accident year</t>
        </is>
      </c>
      <c r="C6" s="22">
        <f>SUMPRODUCT(--(BF_Workpaper!Q5:Q9&lt;=BF_Workpaper!R5:R9),--(BF_Workpaper!R5:R9&lt;=BF_Workpaper!S5:S9))</f>
        <v/>
      </c>
      <c r="D6" s="23">
        <f>IF(C6=5,"PASS","CHECK")</f>
        <v/>
      </c>
    </row>
    <row r="7">
      <c r="A7" s="4" t="inlineStr">
        <is>
          <t>Premium share ordered</t>
        </is>
      </c>
      <c r="B7" s="4" t="inlineStr">
        <is>
          <t>85% ≤ 90% ≤ 95%</t>
        </is>
      </c>
      <c r="C7" s="22">
        <f>IF(AND(Source_Data!J5&lt;=Source_Data!K5,Source_Data!K5&lt;=Source_Data!L5),1,0)</f>
        <v/>
      </c>
      <c r="D7" s="23">
        <f>IF(C7=1,"PASS","CHECK")</f>
        <v/>
      </c>
    </row>
    <row r="8">
      <c r="A8" s="4" t="inlineStr">
        <is>
          <t>ELR ordered</t>
        </is>
      </c>
      <c r="B8" s="4" t="inlineStr">
        <is>
          <t>Low ≤ Base ≤ High for each AY</t>
        </is>
      </c>
      <c r="C8" s="22">
        <f>SUMPRODUCT(--(Source_Data!G5:G9&lt;=Source_Data!H5:H9),--(Source_Data!H5:H9&lt;=Source_Data!I5:I9))</f>
        <v/>
      </c>
      <c r="D8" s="23">
        <f>IF(C8=5,"PASS","CHECK")</f>
        <v/>
      </c>
    </row>
    <row r="9">
      <c r="A9" s="4" t="inlineStr">
        <is>
          <t>BF base vs book total</t>
        </is>
      </c>
      <c r="B9" s="4" t="inlineStr">
        <is>
          <t>Diagnostic only; not expected to equal zero</t>
        </is>
      </c>
      <c r="C9" s="22">
        <f>SUM(BF_Workpaper!R5:R9)-SUM(Source_Data!E5:E9)</f>
        <v/>
      </c>
      <c r="D9" s="21" t="inlineStr">
        <is>
          <t>INFO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2026-08-06T16:48:55Z</dcterms:created>
  <dcterms:modified xsi:type="dcterms:W3CDTF">2026-08-06T16:48:55Z</dcterms:modified>
</cp:coreProperties>
</file>